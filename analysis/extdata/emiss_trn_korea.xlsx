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untaeChoi\Downloads\"/>
    </mc:Choice>
  </mc:AlternateContent>
  <bookViews>
    <workbookView xWindow="0" yWindow="0" windowWidth="25600" windowHeight="104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B7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B9" i="2"/>
  <c r="AA19" i="2"/>
  <c r="V19" i="2"/>
  <c r="Q19" i="2"/>
  <c r="B19" i="2"/>
  <c r="V17" i="2"/>
  <c r="AA17" i="2"/>
  <c r="Q17" i="2"/>
  <c r="B1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B8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B6" i="2"/>
  <c r="B26" i="1"/>
  <c r="V26" i="1"/>
  <c r="AA26" i="1"/>
  <c r="Q26" i="1"/>
</calcChain>
</file>

<file path=xl/sharedStrings.xml><?xml version="1.0" encoding="utf-8"?>
<sst xmlns="http://schemas.openxmlformats.org/spreadsheetml/2006/main" count="52" uniqueCount="38">
  <si>
    <t>3. transportation</t>
    <phoneticPr fontId="3" type="noConversion"/>
  </si>
  <si>
    <t>a. domestic aviation</t>
    <phoneticPr fontId="3" type="noConversion"/>
  </si>
  <si>
    <t>b. road transportatin</t>
    <phoneticPr fontId="3" type="noConversion"/>
  </si>
  <si>
    <t>c. railway</t>
    <phoneticPr fontId="3" type="noConversion"/>
  </si>
  <si>
    <t>d. domestic shipping</t>
    <phoneticPr fontId="3" type="noConversion"/>
  </si>
  <si>
    <t>e. others</t>
    <phoneticPr fontId="3" type="noConversion"/>
  </si>
  <si>
    <r>
      <t>sector</t>
    </r>
    <r>
      <rPr>
        <sz val="9"/>
        <rFont val="한컴돋움"/>
        <family val="1"/>
        <charset val="129"/>
      </rPr>
      <t>·</t>
    </r>
    <r>
      <rPr>
        <sz val="9"/>
        <rFont val="맑은 고딕"/>
        <family val="3"/>
        <charset val="129"/>
        <scheme val="minor"/>
      </rPr>
      <t>subsector / year</t>
    </r>
    <phoneticPr fontId="3" type="noConversion"/>
  </si>
  <si>
    <t>GHG CO2-eq Emissions (Unit: kt CO2-eq)</t>
    <phoneticPr fontId="3" type="noConversion"/>
  </si>
  <si>
    <t>A. Fuel Combustion</t>
    <phoneticPr fontId="3" type="noConversion"/>
  </si>
  <si>
    <t>Memo Item</t>
    <phoneticPr fontId="3" type="noConversion"/>
  </si>
  <si>
    <t>C. International Bunkering &amp; Multinational Operation</t>
    <phoneticPr fontId="3" type="noConversion"/>
  </si>
  <si>
    <t>1. Bunkering</t>
    <phoneticPr fontId="3" type="noConversion"/>
  </si>
  <si>
    <t>a. International Aviation</t>
    <phoneticPr fontId="3" type="noConversion"/>
  </si>
  <si>
    <t>b. International Shipping</t>
    <phoneticPr fontId="3" type="noConversion"/>
  </si>
  <si>
    <t>GCAM Calibrated Values</t>
    <phoneticPr fontId="3" type="noConversion"/>
  </si>
  <si>
    <t>Domestic Transportaion</t>
    <phoneticPr fontId="3" type="noConversion"/>
  </si>
  <si>
    <t>International Transportation</t>
    <phoneticPr fontId="3" type="noConversion"/>
  </si>
  <si>
    <t>Energy</t>
    <phoneticPr fontId="3" type="noConversion"/>
  </si>
  <si>
    <t>GIR (2020)</t>
    <phoneticPr fontId="3" type="noConversion"/>
  </si>
  <si>
    <t>c. International Aviation</t>
    <phoneticPr fontId="3" type="noConversion"/>
  </si>
  <si>
    <t>d. International Shipping</t>
    <phoneticPr fontId="3" type="noConversion"/>
  </si>
  <si>
    <t>Total</t>
    <phoneticPr fontId="3" type="noConversion"/>
  </si>
  <si>
    <t>GCAM Calibrated Values</t>
    <phoneticPr fontId="3" type="noConversion"/>
  </si>
  <si>
    <t>w. International Shipping</t>
    <phoneticPr fontId="3" type="noConversion"/>
  </si>
  <si>
    <t>z. International Aviation</t>
    <phoneticPr fontId="3" type="noConversion"/>
  </si>
  <si>
    <t>y. domestic shipping</t>
    <phoneticPr fontId="3" type="noConversion"/>
  </si>
  <si>
    <t>x. domestic aviation</t>
    <phoneticPr fontId="3" type="noConversion"/>
  </si>
  <si>
    <t>A. Aviation Total</t>
    <phoneticPr fontId="3" type="noConversion"/>
  </si>
  <si>
    <t>X. Aviation Total</t>
    <phoneticPr fontId="3" type="noConversion"/>
  </si>
  <si>
    <t>Y. Domestic Avi. Share</t>
    <phoneticPr fontId="3" type="noConversion"/>
  </si>
  <si>
    <t>Z. Shipping Total</t>
    <phoneticPr fontId="3" type="noConversion"/>
  </si>
  <si>
    <t>W. Domestic Ship. Share</t>
    <phoneticPr fontId="3" type="noConversion"/>
  </si>
  <si>
    <t>B. Domestic Avi. Share</t>
    <phoneticPr fontId="3" type="noConversion"/>
  </si>
  <si>
    <t>D. Domestic Ship. Share</t>
    <phoneticPr fontId="3" type="noConversion"/>
  </si>
  <si>
    <t>C. Shipping Total</t>
    <phoneticPr fontId="3" type="noConversion"/>
  </si>
  <si>
    <t>b. domestic shipping</t>
    <phoneticPr fontId="3" type="noConversion"/>
  </si>
  <si>
    <t>E. Total</t>
    <phoneticPr fontId="3" type="noConversion"/>
  </si>
  <si>
    <t>U. Total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</si>
</sst>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_-* #,##0.00_-;\-* #,##0.00_-;_-* &quot;-&quot;_-;_-@_-"/>
    <numFmt numFmtId="177" formatCode="#,##0.00_ 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한컴돋움"/>
      <family val="1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7"/>
      <color rgb="FFCCCCCC"/>
      <name val="Consolas"/>
      <family val="3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1" xfId="0" applyFont="1" applyFill="1" applyBorder="1" applyAlignment="1">
      <alignment horizontal="left" indent="2"/>
    </xf>
    <xf numFmtId="176" fontId="2" fillId="0" borderId="1" xfId="1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indent="3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left" indent="3"/>
    </xf>
    <xf numFmtId="0" fontId="2" fillId="0" borderId="1" xfId="0" applyFont="1" applyBorder="1" applyAlignment="1">
      <alignment horizontal="left" indent="1"/>
    </xf>
    <xf numFmtId="0" fontId="2" fillId="0" borderId="1" xfId="0" applyFont="1" applyFill="1" applyBorder="1" applyAlignment="1">
      <alignment horizontal="left" indent="1"/>
    </xf>
    <xf numFmtId="0" fontId="2" fillId="3" borderId="1" xfId="0" applyFont="1" applyFill="1" applyBorder="1" applyAlignment="1"/>
    <xf numFmtId="0" fontId="0" fillId="3" borderId="0" xfId="0" applyFill="1">
      <alignment vertical="center"/>
    </xf>
    <xf numFmtId="0" fontId="2" fillId="0" borderId="1" xfId="0" applyFont="1" applyFill="1" applyBorder="1" applyAlignment="1"/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177" fontId="6" fillId="0" borderId="1" xfId="0" applyNumberFormat="1" applyFont="1" applyBorder="1">
      <alignment vertical="center"/>
    </xf>
    <xf numFmtId="176" fontId="2" fillId="0" borderId="1" xfId="1" applyNumberFormat="1" applyFont="1" applyBorder="1" applyAlignment="1">
      <alignment horizontal="right"/>
    </xf>
    <xf numFmtId="176" fontId="2" fillId="3" borderId="1" xfId="1" applyNumberFormat="1" applyFont="1" applyFill="1" applyBorder="1" applyAlignment="1">
      <alignment horizontal="right"/>
    </xf>
    <xf numFmtId="0" fontId="7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Fill="1" applyBorder="1" applyAlignment="1">
      <alignment horizontal="left" indent="3"/>
    </xf>
    <xf numFmtId="0" fontId="6" fillId="3" borderId="1" xfId="0" applyFont="1" applyFill="1" applyBorder="1" applyAlignment="1">
      <alignment horizontal="left" indent="3"/>
    </xf>
    <xf numFmtId="176" fontId="6" fillId="3" borderId="1" xfId="1" applyNumberFormat="1" applyFont="1" applyFill="1" applyBorder="1" applyAlignment="1">
      <alignment horizontal="right"/>
    </xf>
    <xf numFmtId="0" fontId="6" fillId="3" borderId="1" xfId="0" applyFont="1" applyFill="1" applyBorder="1">
      <alignment vertical="center"/>
    </xf>
    <xf numFmtId="176" fontId="6" fillId="3" borderId="1" xfId="0" applyNumberFormat="1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0" fillId="4" borderId="0" xfId="0" applyFill="1">
      <alignment vertical="center"/>
    </xf>
    <xf numFmtId="0" fontId="8" fillId="5" borderId="0" xfId="0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topLeftCell="L13" workbookViewId="0">
      <selection activeCell="A21" sqref="A21:AD32"/>
    </sheetView>
  </sheetViews>
  <sheetFormatPr defaultRowHeight="17"/>
  <cols>
    <col min="1" max="1" width="37.6640625" bestFit="1" customWidth="1"/>
    <col min="2" max="2" width="10.58203125" bestFit="1" customWidth="1"/>
    <col min="3" max="16" width="9.6640625" bestFit="1" customWidth="1"/>
    <col min="17" max="17" width="10.58203125" bestFit="1" customWidth="1"/>
    <col min="18" max="21" width="9.6640625" bestFit="1" customWidth="1"/>
    <col min="22" max="22" width="12.33203125" bestFit="1" customWidth="1"/>
    <col min="23" max="26" width="9.6640625" bestFit="1" customWidth="1"/>
    <col min="27" max="30" width="11.6640625" bestFit="1" customWidth="1"/>
  </cols>
  <sheetData>
    <row r="1" spans="1:30">
      <c r="A1" t="s">
        <v>7</v>
      </c>
    </row>
    <row r="2" spans="1:30">
      <c r="A2" s="4" t="s">
        <v>6</v>
      </c>
      <c r="B2" s="4">
        <v>1990</v>
      </c>
      <c r="C2" s="4">
        <v>1991</v>
      </c>
      <c r="D2" s="4">
        <v>1992</v>
      </c>
      <c r="E2" s="4">
        <v>1993</v>
      </c>
      <c r="F2" s="4">
        <v>1994</v>
      </c>
      <c r="G2" s="4">
        <v>1995</v>
      </c>
      <c r="H2" s="4">
        <v>1996</v>
      </c>
      <c r="I2" s="4">
        <v>1997</v>
      </c>
      <c r="J2" s="4">
        <v>1998</v>
      </c>
      <c r="K2" s="4">
        <v>1999</v>
      </c>
      <c r="L2" s="4">
        <v>2000</v>
      </c>
      <c r="M2" s="4">
        <v>2001</v>
      </c>
      <c r="N2" s="4">
        <v>2002</v>
      </c>
      <c r="O2" s="4">
        <v>2003</v>
      </c>
      <c r="P2" s="4">
        <v>2004</v>
      </c>
      <c r="Q2" s="4">
        <v>2005</v>
      </c>
      <c r="R2" s="4">
        <v>2006</v>
      </c>
      <c r="S2" s="4">
        <v>2007</v>
      </c>
      <c r="T2" s="4">
        <v>2008</v>
      </c>
      <c r="U2" s="4">
        <v>2009</v>
      </c>
      <c r="V2" s="4">
        <v>2010</v>
      </c>
      <c r="W2" s="4">
        <v>2011</v>
      </c>
      <c r="X2" s="4">
        <v>2012</v>
      </c>
      <c r="Y2" s="4">
        <v>2013</v>
      </c>
      <c r="Z2" s="4">
        <v>2014</v>
      </c>
      <c r="AA2" s="4">
        <v>2015</v>
      </c>
      <c r="AB2" s="4">
        <v>2016</v>
      </c>
      <c r="AC2" s="4">
        <v>2017</v>
      </c>
      <c r="AD2" s="4">
        <v>2018</v>
      </c>
    </row>
    <row r="3" spans="1:30" s="10" customFormat="1">
      <c r="A3" s="9" t="s">
        <v>17</v>
      </c>
      <c r="B3" s="16">
        <v>240398.84</v>
      </c>
      <c r="C3" s="16">
        <v>258239.53</v>
      </c>
      <c r="D3" s="16">
        <v>279147.05</v>
      </c>
      <c r="E3" s="16">
        <v>308654.58</v>
      </c>
      <c r="F3" s="16">
        <v>327987.98</v>
      </c>
      <c r="G3" s="16">
        <v>352170.75</v>
      </c>
      <c r="H3" s="16">
        <v>385815.06</v>
      </c>
      <c r="I3" s="16">
        <v>411870.85</v>
      </c>
      <c r="J3" s="16">
        <v>351654.35</v>
      </c>
      <c r="K3" s="16">
        <v>382290.76</v>
      </c>
      <c r="L3" s="16">
        <v>411796.71</v>
      </c>
      <c r="M3" s="16">
        <v>426160.49</v>
      </c>
      <c r="N3" s="16">
        <v>445499.63</v>
      </c>
      <c r="O3" s="16">
        <v>453209.89</v>
      </c>
      <c r="P3" s="16">
        <v>460341.86</v>
      </c>
      <c r="Q3" s="16">
        <v>468874.45</v>
      </c>
      <c r="R3" s="16">
        <v>475131.7</v>
      </c>
      <c r="S3" s="16">
        <v>492774.43</v>
      </c>
      <c r="T3" s="16">
        <v>506424.54</v>
      </c>
      <c r="U3" s="16">
        <v>513054.7</v>
      </c>
      <c r="V3" s="16">
        <v>566120.18999999994</v>
      </c>
      <c r="W3" s="16">
        <v>595092.52</v>
      </c>
      <c r="X3" s="16">
        <v>596471.49</v>
      </c>
      <c r="Y3" s="16">
        <v>605013.89</v>
      </c>
      <c r="Z3" s="16">
        <v>597373.47</v>
      </c>
      <c r="AA3" s="16">
        <v>600696.44999999995</v>
      </c>
      <c r="AB3" s="16">
        <v>602660.9</v>
      </c>
      <c r="AC3" s="16">
        <v>615658.30000000005</v>
      </c>
      <c r="AD3" s="16">
        <v>632376.09</v>
      </c>
    </row>
    <row r="4" spans="1:30">
      <c r="A4" s="8" t="s">
        <v>8</v>
      </c>
      <c r="B4" s="15">
        <v>235286.57</v>
      </c>
      <c r="C4" s="15">
        <v>253680.82</v>
      </c>
      <c r="D4" s="15">
        <v>275357.36</v>
      </c>
      <c r="E4" s="15">
        <v>305495.02</v>
      </c>
      <c r="F4" s="15">
        <v>325254.89</v>
      </c>
      <c r="G4" s="15">
        <v>349783.3</v>
      </c>
      <c r="H4" s="15">
        <v>383418.74</v>
      </c>
      <c r="I4" s="15">
        <v>409394.73</v>
      </c>
      <c r="J4" s="15">
        <v>349302.98</v>
      </c>
      <c r="K4" s="15">
        <v>379755.05</v>
      </c>
      <c r="L4" s="15">
        <v>409127.26</v>
      </c>
      <c r="M4" s="15">
        <v>423456.89</v>
      </c>
      <c r="N4" s="15">
        <v>442786.42</v>
      </c>
      <c r="O4" s="15">
        <v>450424.99</v>
      </c>
      <c r="P4" s="15">
        <v>457281.55</v>
      </c>
      <c r="Q4" s="15">
        <v>465764.73</v>
      </c>
      <c r="R4" s="15">
        <v>471910.15</v>
      </c>
      <c r="S4" s="15">
        <v>489335.39</v>
      </c>
      <c r="T4" s="15">
        <v>502939.28</v>
      </c>
      <c r="U4" s="15">
        <v>509771.07</v>
      </c>
      <c r="V4" s="15">
        <v>562309.98</v>
      </c>
      <c r="W4" s="15">
        <v>591020.57999999996</v>
      </c>
      <c r="X4" s="15">
        <v>592090.42000000004</v>
      </c>
      <c r="Y4" s="15">
        <v>600519.56999999995</v>
      </c>
      <c r="Z4" s="15">
        <v>593260.05000000005</v>
      </c>
      <c r="AA4" s="15">
        <v>596902.73</v>
      </c>
      <c r="AB4" s="15">
        <v>598726.69999999995</v>
      </c>
      <c r="AC4" s="15">
        <v>611641.89</v>
      </c>
      <c r="AD4" s="15">
        <v>627909.14</v>
      </c>
    </row>
    <row r="5" spans="1:30">
      <c r="A5" s="1" t="s">
        <v>0</v>
      </c>
      <c r="B5" s="15">
        <v>38607.269999999997</v>
      </c>
      <c r="C5" s="15">
        <v>43971.41</v>
      </c>
      <c r="D5" s="15">
        <v>55562.03</v>
      </c>
      <c r="E5" s="15">
        <v>57577.43</v>
      </c>
      <c r="F5" s="15">
        <v>64738.79</v>
      </c>
      <c r="G5" s="15">
        <v>68814.66</v>
      </c>
      <c r="H5" s="15">
        <v>74203.48</v>
      </c>
      <c r="I5" s="15">
        <v>57552.29</v>
      </c>
      <c r="J5" s="15">
        <v>62572.38</v>
      </c>
      <c r="K5" s="15">
        <v>69917.78</v>
      </c>
      <c r="L5" s="15">
        <v>73070.73</v>
      </c>
      <c r="M5" s="15">
        <v>78048.23</v>
      </c>
      <c r="N5" s="15">
        <v>80849.05</v>
      </c>
      <c r="O5" s="15">
        <v>81005.58</v>
      </c>
      <c r="P5" s="15">
        <v>81818.8</v>
      </c>
      <c r="Q5" s="15">
        <v>82635.56</v>
      </c>
      <c r="R5" s="15">
        <v>85032.52</v>
      </c>
      <c r="S5" s="15">
        <v>82857.490000000005</v>
      </c>
      <c r="T5" s="15">
        <v>83727.490000000005</v>
      </c>
      <c r="U5" s="15">
        <v>85444.93</v>
      </c>
      <c r="V5" s="15">
        <v>85115.7</v>
      </c>
      <c r="W5" s="15">
        <v>86480.95</v>
      </c>
      <c r="X5" s="15">
        <v>88405.24</v>
      </c>
      <c r="Y5" s="15">
        <v>88716.97</v>
      </c>
      <c r="Z5" s="15">
        <v>94191.76</v>
      </c>
      <c r="AA5" s="15">
        <v>98774.79</v>
      </c>
      <c r="AB5" s="15">
        <v>98339.29</v>
      </c>
      <c r="AC5" s="15">
        <v>98111.38</v>
      </c>
      <c r="AD5" s="2">
        <v>98763.55</v>
      </c>
    </row>
    <row r="6" spans="1:30">
      <c r="A6" s="3" t="s">
        <v>1</v>
      </c>
      <c r="B6" s="15">
        <v>837.04</v>
      </c>
      <c r="C6" s="15">
        <v>910.86</v>
      </c>
      <c r="D6" s="15">
        <v>1060.04</v>
      </c>
      <c r="E6" s="15">
        <v>1187.72</v>
      </c>
      <c r="F6" s="15">
        <v>1218.69</v>
      </c>
      <c r="G6" s="15">
        <v>1343.59</v>
      </c>
      <c r="H6" s="15">
        <v>1393.23</v>
      </c>
      <c r="I6" s="15">
        <v>1596.93</v>
      </c>
      <c r="J6" s="15">
        <v>1359.83</v>
      </c>
      <c r="K6" s="15">
        <v>1309.48</v>
      </c>
      <c r="L6" s="15">
        <v>1417.81</v>
      </c>
      <c r="M6" s="15">
        <v>1309.02</v>
      </c>
      <c r="N6" s="15">
        <v>1349.93</v>
      </c>
      <c r="O6" s="15">
        <v>1384.56</v>
      </c>
      <c r="P6" s="15">
        <v>1146.4100000000001</v>
      </c>
      <c r="Q6" s="15">
        <v>1039.74</v>
      </c>
      <c r="R6" s="15">
        <v>975.22</v>
      </c>
      <c r="S6" s="15">
        <v>945.6</v>
      </c>
      <c r="T6" s="15">
        <v>984.55</v>
      </c>
      <c r="U6" s="15">
        <v>1083.45</v>
      </c>
      <c r="V6" s="15">
        <v>1138.0899999999999</v>
      </c>
      <c r="W6" s="15">
        <v>1203.43</v>
      </c>
      <c r="X6" s="15">
        <v>1209.02</v>
      </c>
      <c r="Y6" s="15">
        <v>1307.28</v>
      </c>
      <c r="Z6" s="15">
        <v>1413.15</v>
      </c>
      <c r="AA6" s="15">
        <v>1456.29</v>
      </c>
      <c r="AB6" s="15">
        <v>1656.14</v>
      </c>
      <c r="AC6" s="15">
        <v>1656.78</v>
      </c>
      <c r="AD6" s="15">
        <v>1606.1</v>
      </c>
    </row>
    <row r="7" spans="1:30">
      <c r="A7" s="3" t="s">
        <v>2</v>
      </c>
      <c r="B7" s="15">
        <v>30901.93</v>
      </c>
      <c r="C7" s="15">
        <v>35447.519999999997</v>
      </c>
      <c r="D7" s="15">
        <v>40527.11</v>
      </c>
      <c r="E7" s="15">
        <v>48839.49</v>
      </c>
      <c r="F7" s="15">
        <v>51423.37</v>
      </c>
      <c r="G7" s="15">
        <v>58533.59</v>
      </c>
      <c r="H7" s="15">
        <v>64137.96</v>
      </c>
      <c r="I7" s="15">
        <v>68705.5</v>
      </c>
      <c r="J7" s="15">
        <v>52611.74</v>
      </c>
      <c r="K7" s="15">
        <v>57998.16</v>
      </c>
      <c r="L7" s="15">
        <v>64488.98</v>
      </c>
      <c r="M7" s="15">
        <v>67529.75</v>
      </c>
      <c r="N7" s="15">
        <v>72468.55</v>
      </c>
      <c r="O7" s="15">
        <v>75075.55</v>
      </c>
      <c r="P7" s="15">
        <v>75798.509999999995</v>
      </c>
      <c r="Q7" s="15">
        <v>76862.009999999995</v>
      </c>
      <c r="R7" s="15">
        <v>77906.210000000006</v>
      </c>
      <c r="S7" s="15">
        <v>80482.23</v>
      </c>
      <c r="T7" s="15">
        <v>78246.66</v>
      </c>
      <c r="U7" s="15">
        <v>79258.460000000006</v>
      </c>
      <c r="V7" s="15">
        <v>81102.05</v>
      </c>
      <c r="W7" s="15">
        <v>80732.66</v>
      </c>
      <c r="X7" s="15">
        <v>82217.27</v>
      </c>
      <c r="Y7" s="15">
        <v>84817.65</v>
      </c>
      <c r="Z7" s="15">
        <v>85446.84</v>
      </c>
      <c r="AA7" s="15">
        <v>90124.32</v>
      </c>
      <c r="AB7" s="15">
        <v>94628.479999999996</v>
      </c>
      <c r="AC7" s="15">
        <v>94271.44</v>
      </c>
      <c r="AD7" s="15">
        <v>94711.41</v>
      </c>
    </row>
    <row r="8" spans="1:30">
      <c r="A8" s="3" t="s">
        <v>3</v>
      </c>
      <c r="B8" s="15">
        <v>876.54</v>
      </c>
      <c r="C8" s="15">
        <v>891.79</v>
      </c>
      <c r="D8" s="15">
        <v>906.97</v>
      </c>
      <c r="E8" s="15">
        <v>978.03</v>
      </c>
      <c r="F8" s="15">
        <v>928.2</v>
      </c>
      <c r="G8" s="15">
        <v>938.07</v>
      </c>
      <c r="H8" s="15">
        <v>927.3</v>
      </c>
      <c r="I8" s="15">
        <v>923.5</v>
      </c>
      <c r="J8" s="15">
        <v>909.37</v>
      </c>
      <c r="K8" s="15">
        <v>946.31</v>
      </c>
      <c r="L8" s="15">
        <v>969.64</v>
      </c>
      <c r="M8" s="15">
        <v>979.26</v>
      </c>
      <c r="N8" s="15">
        <v>979.09</v>
      </c>
      <c r="O8" s="15">
        <v>1001.07</v>
      </c>
      <c r="P8" s="15">
        <v>856.1</v>
      </c>
      <c r="Q8" s="15">
        <v>808.11</v>
      </c>
      <c r="R8" s="15">
        <v>736.39</v>
      </c>
      <c r="S8" s="15">
        <v>659.92</v>
      </c>
      <c r="T8" s="15">
        <v>650.04</v>
      </c>
      <c r="U8" s="15">
        <v>572.97</v>
      </c>
      <c r="V8" s="15">
        <v>556.04999999999995</v>
      </c>
      <c r="W8" s="15">
        <v>505.84</v>
      </c>
      <c r="X8" s="15">
        <v>508.09</v>
      </c>
      <c r="Y8" s="15">
        <v>448.44</v>
      </c>
      <c r="Z8" s="15">
        <v>375.25</v>
      </c>
      <c r="AA8" s="15">
        <v>341.81</v>
      </c>
      <c r="AB8" s="15">
        <v>299.02999999999997</v>
      </c>
      <c r="AC8" s="15">
        <v>289.13</v>
      </c>
      <c r="AD8" s="15">
        <v>287.77</v>
      </c>
    </row>
    <row r="9" spans="1:30">
      <c r="A9" s="3" t="s">
        <v>4</v>
      </c>
      <c r="B9" s="15">
        <v>2441.1999999999998</v>
      </c>
      <c r="C9" s="15">
        <v>1034.49</v>
      </c>
      <c r="D9" s="15">
        <v>1137.6600000000001</v>
      </c>
      <c r="E9" s="15">
        <v>4317.62</v>
      </c>
      <c r="F9" s="15">
        <v>3676.42</v>
      </c>
      <c r="G9" s="15">
        <v>3631.66</v>
      </c>
      <c r="H9" s="15">
        <v>1961.84</v>
      </c>
      <c r="I9" s="15">
        <v>2582.6799999999998</v>
      </c>
      <c r="J9" s="15">
        <v>2204.2399999999998</v>
      </c>
      <c r="K9" s="15">
        <v>2058.5700000000002</v>
      </c>
      <c r="L9" s="15">
        <v>2750.05</v>
      </c>
      <c r="M9" s="15">
        <v>2497.89</v>
      </c>
      <c r="N9" s="15">
        <v>2901.45</v>
      </c>
      <c r="O9" s="15">
        <v>3020.72</v>
      </c>
      <c r="P9" s="15">
        <v>2877.79</v>
      </c>
      <c r="Q9" s="15">
        <v>2775.25</v>
      </c>
      <c r="R9" s="15">
        <v>2680.43</v>
      </c>
      <c r="S9" s="15">
        <v>2585.87</v>
      </c>
      <c r="T9" s="15">
        <v>2622.77</v>
      </c>
      <c r="U9" s="15">
        <v>2425.94</v>
      </c>
      <c r="V9" s="15">
        <v>2268.9</v>
      </c>
      <c r="W9" s="15">
        <v>2262.8200000000002</v>
      </c>
      <c r="X9" s="15">
        <v>2145.44</v>
      </c>
      <c r="Y9" s="15">
        <v>1408.79</v>
      </c>
      <c r="Z9" s="15">
        <v>1009.64</v>
      </c>
      <c r="AA9" s="15">
        <v>1639.74</v>
      </c>
      <c r="AB9" s="15">
        <v>1406.87</v>
      </c>
      <c r="AC9" s="15">
        <v>1338.74</v>
      </c>
      <c r="AD9" s="15">
        <v>1018.93</v>
      </c>
    </row>
    <row r="10" spans="1:30">
      <c r="A10" s="3" t="s">
        <v>5</v>
      </c>
      <c r="B10" s="15">
        <v>448.89</v>
      </c>
      <c r="C10" s="15">
        <v>322.62</v>
      </c>
      <c r="D10" s="15">
        <v>339.62</v>
      </c>
      <c r="E10" s="15">
        <v>239.17</v>
      </c>
      <c r="F10" s="15">
        <v>330.76</v>
      </c>
      <c r="G10" s="15">
        <v>291.87</v>
      </c>
      <c r="H10" s="15">
        <v>394.33</v>
      </c>
      <c r="I10" s="15">
        <v>394.87</v>
      </c>
      <c r="J10" s="15">
        <v>467.1</v>
      </c>
      <c r="K10" s="15">
        <v>259.87</v>
      </c>
      <c r="L10" s="15">
        <v>291.29000000000002</v>
      </c>
      <c r="M10" s="15">
        <v>754.82</v>
      </c>
      <c r="N10" s="15">
        <v>349.2</v>
      </c>
      <c r="O10" s="15">
        <v>367.15</v>
      </c>
      <c r="P10" s="15">
        <v>326.77</v>
      </c>
      <c r="Q10" s="15">
        <v>333.69</v>
      </c>
      <c r="R10" s="15">
        <v>337.32</v>
      </c>
      <c r="S10" s="15">
        <v>358.91</v>
      </c>
      <c r="T10" s="15">
        <v>353.47</v>
      </c>
      <c r="U10" s="15">
        <v>386.67</v>
      </c>
      <c r="V10" s="15">
        <v>379.84</v>
      </c>
      <c r="W10" s="15">
        <v>410.94</v>
      </c>
      <c r="X10" s="15">
        <v>401.13</v>
      </c>
      <c r="Y10" s="15">
        <v>423.09</v>
      </c>
      <c r="Z10" s="15">
        <v>472.1</v>
      </c>
      <c r="AA10" s="15">
        <v>629.6</v>
      </c>
      <c r="AB10" s="15">
        <v>784.27</v>
      </c>
      <c r="AC10" s="15">
        <v>783.19</v>
      </c>
      <c r="AD10" s="15">
        <v>487.17</v>
      </c>
    </row>
    <row r="11" spans="1:30">
      <c r="A11" s="1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>
      <c r="A12" s="7" t="s">
        <v>10</v>
      </c>
      <c r="B12" s="15">
        <v>13947.18</v>
      </c>
      <c r="C12" s="15">
        <v>16767.62</v>
      </c>
      <c r="D12" s="15">
        <v>20811.82</v>
      </c>
      <c r="E12" s="15">
        <v>22053.54</v>
      </c>
      <c r="F12" s="15">
        <v>25421.040000000001</v>
      </c>
      <c r="G12" s="15">
        <v>29288.35</v>
      </c>
      <c r="H12" s="15">
        <v>34901.24</v>
      </c>
      <c r="I12" s="15">
        <v>38303.089999999997</v>
      </c>
      <c r="J12" s="15">
        <v>37885.5</v>
      </c>
      <c r="K12" s="15">
        <v>40983.1</v>
      </c>
      <c r="L12" s="15">
        <v>38853.550000000003</v>
      </c>
      <c r="M12" s="15">
        <v>37972.83</v>
      </c>
      <c r="N12" s="15">
        <v>38058.61</v>
      </c>
      <c r="O12" s="15">
        <v>40698.58</v>
      </c>
      <c r="P12" s="15">
        <v>42483.519999999997</v>
      </c>
      <c r="Q12" s="15">
        <v>42937.64</v>
      </c>
      <c r="R12" s="15">
        <v>41005.47</v>
      </c>
      <c r="S12" s="15">
        <v>41604.01</v>
      </c>
      <c r="T12" s="15">
        <v>39131.9</v>
      </c>
      <c r="U12" s="15">
        <v>35925.980000000003</v>
      </c>
      <c r="V12" s="15">
        <v>38444.29</v>
      </c>
      <c r="W12" s="15">
        <v>38168.15</v>
      </c>
      <c r="X12" s="15">
        <v>37366.839999999997</v>
      </c>
      <c r="Y12" s="15">
        <v>37434.46</v>
      </c>
      <c r="Z12" s="15">
        <v>37979.35</v>
      </c>
      <c r="AA12" s="15">
        <v>41037.24</v>
      </c>
      <c r="AB12" s="15">
        <v>46090.83</v>
      </c>
      <c r="AC12" s="15">
        <v>47007.16</v>
      </c>
      <c r="AD12" s="15">
        <v>46129.53</v>
      </c>
    </row>
    <row r="13" spans="1:30">
      <c r="A13" s="5" t="s">
        <v>11</v>
      </c>
      <c r="B13" s="15">
        <v>13947.18</v>
      </c>
      <c r="C13" s="15">
        <v>16767.62</v>
      </c>
      <c r="D13" s="15">
        <v>20811.82</v>
      </c>
      <c r="E13" s="15">
        <v>22053.54</v>
      </c>
      <c r="F13" s="15">
        <v>25421.040000000001</v>
      </c>
      <c r="G13" s="15">
        <v>29288.35</v>
      </c>
      <c r="H13" s="15">
        <v>34901.24</v>
      </c>
      <c r="I13" s="15">
        <v>38303.089999999997</v>
      </c>
      <c r="J13" s="15">
        <v>37885.5</v>
      </c>
      <c r="K13" s="15">
        <v>40983.1</v>
      </c>
      <c r="L13" s="15">
        <v>38853.550000000003</v>
      </c>
      <c r="M13" s="15">
        <v>37972.83</v>
      </c>
      <c r="N13" s="15">
        <v>38058.61</v>
      </c>
      <c r="O13" s="15">
        <v>40698.58</v>
      </c>
      <c r="P13" s="15">
        <v>42483.519999999997</v>
      </c>
      <c r="Q13" s="15">
        <v>42937.64</v>
      </c>
      <c r="R13" s="15">
        <v>41005.47</v>
      </c>
      <c r="S13" s="15">
        <v>41604.01</v>
      </c>
      <c r="T13" s="15">
        <v>39131.9</v>
      </c>
      <c r="U13" s="15">
        <v>35925.980000000003</v>
      </c>
      <c r="V13" s="15">
        <v>38444.29</v>
      </c>
      <c r="W13" s="15">
        <v>38168.15</v>
      </c>
      <c r="X13" s="15">
        <v>37366.839999999997</v>
      </c>
      <c r="Y13" s="15">
        <v>37434.46</v>
      </c>
      <c r="Z13" s="15">
        <v>37979.35</v>
      </c>
      <c r="AA13" s="15">
        <v>41037.24</v>
      </c>
      <c r="AB13" s="15">
        <v>46090.83</v>
      </c>
      <c r="AC13" s="15">
        <v>47007.16</v>
      </c>
      <c r="AD13" s="15">
        <v>46129.53</v>
      </c>
    </row>
    <row r="14" spans="1:30">
      <c r="A14" s="6" t="s">
        <v>12</v>
      </c>
      <c r="B14" s="15">
        <v>6244.07</v>
      </c>
      <c r="C14" s="15">
        <v>4259.24</v>
      </c>
      <c r="D14" s="15">
        <v>5094.71</v>
      </c>
      <c r="E14" s="15">
        <v>5632.05</v>
      </c>
      <c r="F14" s="15">
        <v>6324.88</v>
      </c>
      <c r="G14" s="15">
        <v>7151.47</v>
      </c>
      <c r="H14" s="15">
        <v>7815.39</v>
      </c>
      <c r="I14" s="15">
        <v>8510.4699999999993</v>
      </c>
      <c r="J14" s="15">
        <v>7053.26</v>
      </c>
      <c r="K14" s="15">
        <v>7281.22</v>
      </c>
      <c r="L14" s="15">
        <v>7685.55</v>
      </c>
      <c r="M14" s="15">
        <v>8053.89</v>
      </c>
      <c r="N14" s="15">
        <v>9097.0400000000009</v>
      </c>
      <c r="O14" s="15">
        <v>9560.85</v>
      </c>
      <c r="P14" s="15">
        <v>10189.14</v>
      </c>
      <c r="Q14" s="15">
        <v>10603.92</v>
      </c>
      <c r="R14" s="15">
        <v>8598.5400000000009</v>
      </c>
      <c r="S14" s="15">
        <v>12112.98</v>
      </c>
      <c r="T14" s="15">
        <v>11051.23</v>
      </c>
      <c r="U14" s="15">
        <v>10526.3</v>
      </c>
      <c r="V14" s="15">
        <v>11718.92</v>
      </c>
      <c r="W14" s="15">
        <v>11819.09</v>
      </c>
      <c r="X14" s="15">
        <v>11908.21</v>
      </c>
      <c r="Y14" s="15">
        <v>12573.34</v>
      </c>
      <c r="Z14" s="15">
        <v>12603.73</v>
      </c>
      <c r="AA14" s="15">
        <v>12962.15</v>
      </c>
      <c r="AB14" s="15">
        <v>14480.26</v>
      </c>
      <c r="AC14" s="15">
        <v>14833.61</v>
      </c>
      <c r="AD14" s="15">
        <v>15628.84</v>
      </c>
    </row>
    <row r="15" spans="1:30">
      <c r="A15" s="6" t="s">
        <v>13</v>
      </c>
      <c r="B15" s="15">
        <v>7703.11</v>
      </c>
      <c r="C15" s="15">
        <v>12508.38</v>
      </c>
      <c r="D15" s="15">
        <v>15717.11</v>
      </c>
      <c r="E15" s="15">
        <v>16421.5</v>
      </c>
      <c r="F15" s="15">
        <v>19096.16</v>
      </c>
      <c r="G15" s="15">
        <v>22136.880000000001</v>
      </c>
      <c r="H15" s="15">
        <v>27085.86</v>
      </c>
      <c r="I15" s="15">
        <v>29792.61</v>
      </c>
      <c r="J15" s="15">
        <v>30832.240000000002</v>
      </c>
      <c r="K15" s="15">
        <v>33701.870000000003</v>
      </c>
      <c r="L15" s="15">
        <v>31168</v>
      </c>
      <c r="M15" s="15">
        <v>29918.94</v>
      </c>
      <c r="N15" s="15">
        <v>28961.57</v>
      </c>
      <c r="O15" s="15">
        <v>31137.73</v>
      </c>
      <c r="P15" s="15">
        <v>32294.37</v>
      </c>
      <c r="Q15" s="15">
        <v>32333.72</v>
      </c>
      <c r="R15" s="15">
        <v>32406.94</v>
      </c>
      <c r="S15" s="15">
        <v>29491.02</v>
      </c>
      <c r="T15" s="15">
        <v>28080.67</v>
      </c>
      <c r="U15" s="15">
        <v>25399.68</v>
      </c>
      <c r="V15" s="15">
        <v>26725.37</v>
      </c>
      <c r="W15" s="15">
        <v>26349.06</v>
      </c>
      <c r="X15" s="15">
        <v>25458.63</v>
      </c>
      <c r="Y15" s="15">
        <v>24861.119999999999</v>
      </c>
      <c r="Z15" s="15">
        <v>25375.62</v>
      </c>
      <c r="AA15" s="15">
        <v>28075.08</v>
      </c>
      <c r="AB15" s="15">
        <v>31610.57</v>
      </c>
      <c r="AC15" s="15">
        <v>32173.55</v>
      </c>
      <c r="AD15" s="15">
        <v>30500.69</v>
      </c>
    </row>
    <row r="16" spans="1:30">
      <c r="A16" s="12" t="s">
        <v>14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>
      <c r="A17" s="1" t="s">
        <v>15</v>
      </c>
      <c r="B17" s="14">
        <v>44634.320471999999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>
        <v>94616.698988000004</v>
      </c>
      <c r="R17" s="14"/>
      <c r="S17" s="14"/>
      <c r="T17" s="14"/>
      <c r="U17" s="14"/>
      <c r="V17" s="14">
        <v>100601.994471</v>
      </c>
      <c r="W17" s="14"/>
      <c r="X17" s="14"/>
      <c r="Y17" s="14"/>
      <c r="Z17" s="14"/>
      <c r="AA17" s="14">
        <v>112966.846897</v>
      </c>
      <c r="AB17" s="14"/>
      <c r="AC17" s="14"/>
      <c r="AD17" s="14"/>
    </row>
    <row r="18" spans="1:30">
      <c r="A18" s="1" t="s">
        <v>16</v>
      </c>
      <c r="B18" s="14">
        <v>5403.3213459999997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>
        <v>31549.805925000001</v>
      </c>
      <c r="R18" s="14"/>
      <c r="S18" s="14"/>
      <c r="T18" s="14"/>
      <c r="U18" s="14"/>
      <c r="V18" s="14">
        <v>27347.914706</v>
      </c>
      <c r="W18" s="14"/>
      <c r="X18" s="14"/>
      <c r="Y18" s="14"/>
      <c r="Z18" s="14"/>
      <c r="AA18" s="14">
        <v>26185.231222999999</v>
      </c>
      <c r="AB18" s="14"/>
      <c r="AC18" s="14"/>
      <c r="AD18" s="14"/>
    </row>
    <row r="19" spans="1:30">
      <c r="A19" s="6" t="s">
        <v>12</v>
      </c>
      <c r="B19" s="14">
        <v>568.04600000000005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>
        <v>997.53499999999997</v>
      </c>
      <c r="R19" s="14"/>
      <c r="S19" s="14"/>
      <c r="T19" s="14"/>
      <c r="U19" s="14"/>
      <c r="V19" s="14">
        <v>1200.9860000000001</v>
      </c>
      <c r="W19" s="14"/>
      <c r="X19" s="14"/>
      <c r="Y19" s="14"/>
      <c r="Z19" s="14"/>
      <c r="AA19" s="14">
        <v>1535.001</v>
      </c>
      <c r="AB19" s="14"/>
      <c r="AC19" s="14"/>
      <c r="AD19" s="14"/>
    </row>
    <row r="20" spans="1:30">
      <c r="A20" s="6" t="s">
        <v>13</v>
      </c>
      <c r="B20" s="14">
        <v>4835.2760000000007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>
        <v>30552.271000000001</v>
      </c>
      <c r="R20" s="14"/>
      <c r="S20" s="14"/>
      <c r="T20" s="14"/>
      <c r="U20" s="14"/>
      <c r="V20" s="14">
        <v>26146.929</v>
      </c>
      <c r="W20" s="14"/>
      <c r="X20" s="14"/>
      <c r="Y20" s="14"/>
      <c r="Z20" s="14"/>
      <c r="AA20" s="14">
        <v>24650.23</v>
      </c>
      <c r="AB20" s="14"/>
      <c r="AC20" s="14"/>
      <c r="AD20" s="14"/>
    </row>
    <row r="21" spans="1:30">
      <c r="A21" t="s">
        <v>18</v>
      </c>
    </row>
    <row r="22" spans="1:30">
      <c r="A22" s="3" t="s">
        <v>1</v>
      </c>
      <c r="B22" s="15">
        <v>837.04</v>
      </c>
      <c r="C22" s="15">
        <v>910.86</v>
      </c>
      <c r="D22" s="15">
        <v>1060.04</v>
      </c>
      <c r="E22" s="15">
        <v>1187.72</v>
      </c>
      <c r="F22" s="15">
        <v>1218.69</v>
      </c>
      <c r="G22" s="15">
        <v>1343.59</v>
      </c>
      <c r="H22" s="15">
        <v>1393.23</v>
      </c>
      <c r="I22" s="15">
        <v>1596.93</v>
      </c>
      <c r="J22" s="15">
        <v>1359.83</v>
      </c>
      <c r="K22" s="15">
        <v>1309.48</v>
      </c>
      <c r="L22" s="15">
        <v>1417.81</v>
      </c>
      <c r="M22" s="15">
        <v>1309.02</v>
      </c>
      <c r="N22" s="15">
        <v>1349.93</v>
      </c>
      <c r="O22" s="15">
        <v>1384.56</v>
      </c>
      <c r="P22" s="15">
        <v>1146.4100000000001</v>
      </c>
      <c r="Q22" s="15">
        <v>1039.74</v>
      </c>
      <c r="R22" s="15">
        <v>975.22</v>
      </c>
      <c r="S22" s="15">
        <v>945.6</v>
      </c>
      <c r="T22" s="15">
        <v>984.55</v>
      </c>
      <c r="U22" s="15">
        <v>1083.45</v>
      </c>
      <c r="V22" s="15">
        <v>1138.0899999999999</v>
      </c>
      <c r="W22" s="15">
        <v>1203.43</v>
      </c>
      <c r="X22" s="15">
        <v>1209.02</v>
      </c>
      <c r="Y22" s="15">
        <v>1307.28</v>
      </c>
      <c r="Z22" s="15">
        <v>1413.15</v>
      </c>
      <c r="AA22" s="15">
        <v>1456.29</v>
      </c>
      <c r="AB22" s="15">
        <v>1656.14</v>
      </c>
      <c r="AC22" s="15">
        <v>1656.78</v>
      </c>
      <c r="AD22" s="15">
        <v>1606.1</v>
      </c>
    </row>
    <row r="23" spans="1:30">
      <c r="A23" s="3" t="s">
        <v>4</v>
      </c>
      <c r="B23" s="15">
        <v>2441.1999999999998</v>
      </c>
      <c r="C23" s="15">
        <v>1034.49</v>
      </c>
      <c r="D23" s="15">
        <v>1137.6600000000001</v>
      </c>
      <c r="E23" s="15">
        <v>4317.62</v>
      </c>
      <c r="F23" s="15">
        <v>3676.42</v>
      </c>
      <c r="G23" s="15">
        <v>3631.66</v>
      </c>
      <c r="H23" s="15">
        <v>1961.84</v>
      </c>
      <c r="I23" s="15">
        <v>2582.6799999999998</v>
      </c>
      <c r="J23" s="15">
        <v>2204.2399999999998</v>
      </c>
      <c r="K23" s="15">
        <v>2058.5700000000002</v>
      </c>
      <c r="L23" s="15">
        <v>2750.05</v>
      </c>
      <c r="M23" s="15">
        <v>2497.89</v>
      </c>
      <c r="N23" s="15">
        <v>2901.45</v>
      </c>
      <c r="O23" s="15">
        <v>3020.72</v>
      </c>
      <c r="P23" s="15">
        <v>2877.79</v>
      </c>
      <c r="Q23" s="15">
        <v>2775.25</v>
      </c>
      <c r="R23" s="15">
        <v>2680.43</v>
      </c>
      <c r="S23" s="15">
        <v>2585.87</v>
      </c>
      <c r="T23" s="15">
        <v>2622.77</v>
      </c>
      <c r="U23" s="15">
        <v>2425.94</v>
      </c>
      <c r="V23" s="15">
        <v>2268.9</v>
      </c>
      <c r="W23" s="15">
        <v>2262.8200000000002</v>
      </c>
      <c r="X23" s="15">
        <v>2145.44</v>
      </c>
      <c r="Y23" s="15">
        <v>1408.79</v>
      </c>
      <c r="Z23" s="15">
        <v>1009.64</v>
      </c>
      <c r="AA23" s="15">
        <v>1639.74</v>
      </c>
      <c r="AB23" s="15">
        <v>1406.87</v>
      </c>
      <c r="AC23" s="15">
        <v>1338.74</v>
      </c>
      <c r="AD23" s="15">
        <v>1018.93</v>
      </c>
    </row>
    <row r="24" spans="1:30">
      <c r="A24" s="6" t="s">
        <v>19</v>
      </c>
      <c r="B24" s="15">
        <v>6244.07</v>
      </c>
      <c r="C24" s="15">
        <v>4259.24</v>
      </c>
      <c r="D24" s="15">
        <v>5094.71</v>
      </c>
      <c r="E24" s="15">
        <v>5632.05</v>
      </c>
      <c r="F24" s="15">
        <v>6324.88</v>
      </c>
      <c r="G24" s="15">
        <v>7151.47</v>
      </c>
      <c r="H24" s="15">
        <v>7815.39</v>
      </c>
      <c r="I24" s="15">
        <v>8510.4699999999993</v>
      </c>
      <c r="J24" s="15">
        <v>7053.26</v>
      </c>
      <c r="K24" s="15">
        <v>7281.22</v>
      </c>
      <c r="L24" s="15">
        <v>7685.55</v>
      </c>
      <c r="M24" s="15">
        <v>8053.89</v>
      </c>
      <c r="N24" s="15">
        <v>9097.0400000000009</v>
      </c>
      <c r="O24" s="15">
        <v>9560.85</v>
      </c>
      <c r="P24" s="15">
        <v>10189.14</v>
      </c>
      <c r="Q24" s="15">
        <v>10603.92</v>
      </c>
      <c r="R24" s="15">
        <v>8598.5400000000009</v>
      </c>
      <c r="S24" s="15">
        <v>12112.98</v>
      </c>
      <c r="T24" s="15">
        <v>11051.23</v>
      </c>
      <c r="U24" s="15">
        <v>10526.3</v>
      </c>
      <c r="V24" s="15">
        <v>11718.92</v>
      </c>
      <c r="W24" s="15">
        <v>11819.09</v>
      </c>
      <c r="X24" s="15">
        <v>11908.21</v>
      </c>
      <c r="Y24" s="15">
        <v>12573.34</v>
      </c>
      <c r="Z24" s="15">
        <v>12603.73</v>
      </c>
      <c r="AA24" s="15">
        <v>12962.15</v>
      </c>
      <c r="AB24" s="15">
        <v>14480.26</v>
      </c>
      <c r="AC24" s="15">
        <v>14833.61</v>
      </c>
      <c r="AD24" s="15">
        <v>15628.84</v>
      </c>
    </row>
    <row r="25" spans="1:30">
      <c r="A25" s="6" t="s">
        <v>20</v>
      </c>
      <c r="B25" s="15">
        <v>7703.11</v>
      </c>
      <c r="C25" s="15">
        <v>12508.38</v>
      </c>
      <c r="D25" s="15">
        <v>15717.11</v>
      </c>
      <c r="E25" s="15">
        <v>16421.5</v>
      </c>
      <c r="F25" s="15">
        <v>19096.16</v>
      </c>
      <c r="G25" s="15">
        <v>22136.880000000001</v>
      </c>
      <c r="H25" s="15">
        <v>27085.86</v>
      </c>
      <c r="I25" s="15">
        <v>29792.61</v>
      </c>
      <c r="J25" s="15">
        <v>30832.240000000002</v>
      </c>
      <c r="K25" s="15">
        <v>33701.870000000003</v>
      </c>
      <c r="L25" s="15">
        <v>31168</v>
      </c>
      <c r="M25" s="15">
        <v>29918.94</v>
      </c>
      <c r="N25" s="15">
        <v>28961.57</v>
      </c>
      <c r="O25" s="15">
        <v>31137.73</v>
      </c>
      <c r="P25" s="15">
        <v>32294.37</v>
      </c>
      <c r="Q25" s="15">
        <v>32333.72</v>
      </c>
      <c r="R25" s="15">
        <v>32406.94</v>
      </c>
      <c r="S25" s="15">
        <v>29491.02</v>
      </c>
      <c r="T25" s="15">
        <v>28080.67</v>
      </c>
      <c r="U25" s="15">
        <v>25399.68</v>
      </c>
      <c r="V25" s="15">
        <v>26725.37</v>
      </c>
      <c r="W25" s="15">
        <v>26349.06</v>
      </c>
      <c r="X25" s="15">
        <v>25458.63</v>
      </c>
      <c r="Y25" s="15">
        <v>24861.119999999999</v>
      </c>
      <c r="Z25" s="15">
        <v>25375.62</v>
      </c>
      <c r="AA25" s="15">
        <v>28075.08</v>
      </c>
      <c r="AB25" s="15">
        <v>31610.57</v>
      </c>
      <c r="AC25" s="15">
        <v>32173.55</v>
      </c>
      <c r="AD25" s="15">
        <v>30500.69</v>
      </c>
    </row>
    <row r="26" spans="1:30">
      <c r="A26" s="19" t="s">
        <v>21</v>
      </c>
      <c r="B26" s="18">
        <f>SUM(B22:B25)</f>
        <v>17225.419999999998</v>
      </c>
      <c r="Q26" s="18">
        <f>SUM(Q22:Q25)</f>
        <v>46752.630000000005</v>
      </c>
      <c r="V26" s="18">
        <f>SUM(V22:V25)</f>
        <v>41851.279999999999</v>
      </c>
      <c r="AA26" s="18">
        <f>SUM(AA22:AA25)</f>
        <v>44133.26</v>
      </c>
    </row>
    <row r="27" spans="1:30">
      <c r="A27" t="s">
        <v>22</v>
      </c>
    </row>
    <row r="28" spans="1:30">
      <c r="A28" s="3" t="s">
        <v>1</v>
      </c>
      <c r="B28" s="17">
        <v>6126.9258799999998</v>
      </c>
      <c r="Q28" s="17">
        <v>10190.956179999999</v>
      </c>
      <c r="V28" s="17">
        <v>11994.2472</v>
      </c>
      <c r="AA28" s="17">
        <v>15547.72</v>
      </c>
    </row>
    <row r="29" spans="1:30">
      <c r="A29" s="3" t="s">
        <v>4</v>
      </c>
      <c r="B29" s="17">
        <v>5024.6495000000004</v>
      </c>
      <c r="Q29" s="17">
        <v>2685.1264379999998</v>
      </c>
      <c r="V29" s="17">
        <v>2055.9249</v>
      </c>
      <c r="AA29" s="17">
        <v>669.21</v>
      </c>
    </row>
    <row r="30" spans="1:30">
      <c r="A30" s="6" t="s">
        <v>19</v>
      </c>
      <c r="B30" s="17">
        <v>568.04566399999999</v>
      </c>
      <c r="Q30" s="17">
        <v>997.63453200000004</v>
      </c>
      <c r="V30" s="17">
        <v>1204.5157549999999</v>
      </c>
      <c r="AA30" s="17">
        <v>1540.35</v>
      </c>
    </row>
    <row r="31" spans="1:30">
      <c r="A31" s="6" t="s">
        <v>20</v>
      </c>
      <c r="B31" s="17">
        <v>4835.2756829999998</v>
      </c>
      <c r="Q31" s="17">
        <v>30555.449926000001</v>
      </c>
      <c r="V31" s="17">
        <v>26229.208735</v>
      </c>
      <c r="AA31" s="17">
        <v>24740.89</v>
      </c>
    </row>
    <row r="32" spans="1:30">
      <c r="A32" s="19" t="s">
        <v>21</v>
      </c>
      <c r="B32">
        <v>16554.896726999999</v>
      </c>
      <c r="Q32">
        <v>44429.167075999998</v>
      </c>
      <c r="V32">
        <v>41483.896590000004</v>
      </c>
      <c r="AA32">
        <v>42498.17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tabSelected="1" workbookViewId="0">
      <selection activeCell="A21" sqref="A21"/>
    </sheetView>
  </sheetViews>
  <sheetFormatPr defaultRowHeight="17"/>
  <cols>
    <col min="1" max="1" width="24.6640625" bestFit="1" customWidth="1"/>
    <col min="2" max="2" width="12.4140625" bestFit="1" customWidth="1"/>
    <col min="3" max="16" width="8.83203125" bestFit="1" customWidth="1"/>
    <col min="17" max="17" width="12.4140625" bestFit="1" customWidth="1"/>
    <col min="18" max="21" width="8.83203125" bestFit="1" customWidth="1"/>
    <col min="22" max="22" width="12.4140625" bestFit="1" customWidth="1"/>
    <col min="23" max="26" width="8.83203125" bestFit="1" customWidth="1"/>
    <col min="27" max="27" width="10.6640625" bestFit="1" customWidth="1"/>
    <col min="28" max="30" width="8.83203125" bestFit="1" customWidth="1"/>
  </cols>
  <sheetData>
    <row r="1" spans="1:30" s="26" customFormat="1">
      <c r="A1" s="24" t="s">
        <v>18</v>
      </c>
      <c r="B1" s="24">
        <v>1990</v>
      </c>
      <c r="C1" s="24">
        <v>1991</v>
      </c>
      <c r="D1" s="24">
        <v>1992</v>
      </c>
      <c r="E1" s="24">
        <v>1993</v>
      </c>
      <c r="F1" s="24">
        <v>1994</v>
      </c>
      <c r="G1" s="24">
        <v>1995</v>
      </c>
      <c r="H1" s="24">
        <v>1996</v>
      </c>
      <c r="I1" s="24">
        <v>1997</v>
      </c>
      <c r="J1" s="24">
        <v>1998</v>
      </c>
      <c r="K1" s="24">
        <v>1999</v>
      </c>
      <c r="L1" s="24">
        <v>2000</v>
      </c>
      <c r="M1" s="24">
        <v>2001</v>
      </c>
      <c r="N1" s="24">
        <v>2002</v>
      </c>
      <c r="O1" s="24">
        <v>2003</v>
      </c>
      <c r="P1" s="24">
        <v>2004</v>
      </c>
      <c r="Q1" s="24">
        <v>2005</v>
      </c>
      <c r="R1" s="24">
        <v>2006</v>
      </c>
      <c r="S1" s="24">
        <v>2007</v>
      </c>
      <c r="T1" s="24">
        <v>2008</v>
      </c>
      <c r="U1" s="24">
        <v>2009</v>
      </c>
      <c r="V1" s="24">
        <v>2010</v>
      </c>
      <c r="W1" s="24">
        <v>2011</v>
      </c>
      <c r="X1" s="24">
        <v>2012</v>
      </c>
      <c r="Y1" s="24">
        <v>2013</v>
      </c>
      <c r="Z1" s="24">
        <v>2014</v>
      </c>
      <c r="AA1" s="24">
        <v>2015</v>
      </c>
      <c r="AB1" s="24">
        <v>2016</v>
      </c>
      <c r="AC1" s="24">
        <v>2017</v>
      </c>
      <c r="AD1" s="24">
        <v>2018</v>
      </c>
    </row>
    <row r="2" spans="1:30">
      <c r="A2" s="20" t="s">
        <v>1</v>
      </c>
      <c r="B2" s="21">
        <v>837.04</v>
      </c>
      <c r="C2" s="21">
        <v>910.86</v>
      </c>
      <c r="D2" s="21">
        <v>1060.04</v>
      </c>
      <c r="E2" s="21">
        <v>1187.72</v>
      </c>
      <c r="F2" s="21">
        <v>1218.69</v>
      </c>
      <c r="G2" s="21">
        <v>1343.59</v>
      </c>
      <c r="H2" s="21">
        <v>1393.23</v>
      </c>
      <c r="I2" s="21">
        <v>1596.93</v>
      </c>
      <c r="J2" s="21">
        <v>1359.83</v>
      </c>
      <c r="K2" s="21">
        <v>1309.48</v>
      </c>
      <c r="L2" s="21">
        <v>1417.81</v>
      </c>
      <c r="M2" s="21">
        <v>1309.02</v>
      </c>
      <c r="N2" s="21">
        <v>1349.93</v>
      </c>
      <c r="O2" s="21">
        <v>1384.56</v>
      </c>
      <c r="P2" s="21">
        <v>1146.4100000000001</v>
      </c>
      <c r="Q2" s="21">
        <v>1039.74</v>
      </c>
      <c r="R2" s="21">
        <v>975.22</v>
      </c>
      <c r="S2" s="21">
        <v>945.6</v>
      </c>
      <c r="T2" s="21">
        <v>984.55</v>
      </c>
      <c r="U2" s="21">
        <v>1083.45</v>
      </c>
      <c r="V2" s="21">
        <v>1138.0899999999999</v>
      </c>
      <c r="W2" s="21">
        <v>1203.43</v>
      </c>
      <c r="X2" s="21">
        <v>1209.02</v>
      </c>
      <c r="Y2" s="21">
        <v>1307.28</v>
      </c>
      <c r="Z2" s="21">
        <v>1413.15</v>
      </c>
      <c r="AA2" s="21">
        <v>1456.29</v>
      </c>
      <c r="AB2" s="21">
        <v>1656.14</v>
      </c>
      <c r="AC2" s="21">
        <v>1656.78</v>
      </c>
      <c r="AD2" s="21">
        <v>1606.1</v>
      </c>
    </row>
    <row r="3" spans="1:30">
      <c r="A3" s="20" t="s">
        <v>35</v>
      </c>
      <c r="B3" s="21">
        <v>2441.1999999999998</v>
      </c>
      <c r="C3" s="21">
        <v>1034.49</v>
      </c>
      <c r="D3" s="21">
        <v>1137.6600000000001</v>
      </c>
      <c r="E3" s="21">
        <v>4317.62</v>
      </c>
      <c r="F3" s="21">
        <v>3676.42</v>
      </c>
      <c r="G3" s="21">
        <v>3631.66</v>
      </c>
      <c r="H3" s="21">
        <v>1961.84</v>
      </c>
      <c r="I3" s="21">
        <v>2582.6799999999998</v>
      </c>
      <c r="J3" s="21">
        <v>2204.2399999999998</v>
      </c>
      <c r="K3" s="21">
        <v>2058.5700000000002</v>
      </c>
      <c r="L3" s="21">
        <v>2750.05</v>
      </c>
      <c r="M3" s="21">
        <v>2497.89</v>
      </c>
      <c r="N3" s="21">
        <v>2901.45</v>
      </c>
      <c r="O3" s="21">
        <v>3020.72</v>
      </c>
      <c r="P3" s="21">
        <v>2877.79</v>
      </c>
      <c r="Q3" s="21">
        <v>2775.25</v>
      </c>
      <c r="R3" s="21">
        <v>2680.43</v>
      </c>
      <c r="S3" s="21">
        <v>2585.87</v>
      </c>
      <c r="T3" s="21">
        <v>2622.77</v>
      </c>
      <c r="U3" s="21">
        <v>2425.94</v>
      </c>
      <c r="V3" s="21">
        <v>2268.9</v>
      </c>
      <c r="W3" s="21">
        <v>2262.8200000000002</v>
      </c>
      <c r="X3" s="21">
        <v>2145.44</v>
      </c>
      <c r="Y3" s="21">
        <v>1408.79</v>
      </c>
      <c r="Z3" s="21">
        <v>1009.64</v>
      </c>
      <c r="AA3" s="21">
        <v>1639.74</v>
      </c>
      <c r="AB3" s="21">
        <v>1406.87</v>
      </c>
      <c r="AC3" s="21">
        <v>1338.74</v>
      </c>
      <c r="AD3" s="21">
        <v>1018.93</v>
      </c>
    </row>
    <row r="4" spans="1:30">
      <c r="A4" s="20" t="s">
        <v>19</v>
      </c>
      <c r="B4" s="21">
        <v>6244.07</v>
      </c>
      <c r="C4" s="21">
        <v>4259.24</v>
      </c>
      <c r="D4" s="21">
        <v>5094.71</v>
      </c>
      <c r="E4" s="21">
        <v>5632.05</v>
      </c>
      <c r="F4" s="21">
        <v>6324.88</v>
      </c>
      <c r="G4" s="21">
        <v>7151.47</v>
      </c>
      <c r="H4" s="21">
        <v>7815.39</v>
      </c>
      <c r="I4" s="21">
        <v>8510.4699999999993</v>
      </c>
      <c r="J4" s="21">
        <v>7053.26</v>
      </c>
      <c r="K4" s="21">
        <v>7281.22</v>
      </c>
      <c r="L4" s="21">
        <v>7685.55</v>
      </c>
      <c r="M4" s="21">
        <v>8053.89</v>
      </c>
      <c r="N4" s="21">
        <v>9097.0400000000009</v>
      </c>
      <c r="O4" s="21">
        <v>9560.85</v>
      </c>
      <c r="P4" s="21">
        <v>10189.14</v>
      </c>
      <c r="Q4" s="21">
        <v>10603.92</v>
      </c>
      <c r="R4" s="21">
        <v>8598.5400000000009</v>
      </c>
      <c r="S4" s="21">
        <v>12112.98</v>
      </c>
      <c r="T4" s="21">
        <v>11051.23</v>
      </c>
      <c r="U4" s="21">
        <v>10526.3</v>
      </c>
      <c r="V4" s="21">
        <v>11718.92</v>
      </c>
      <c r="W4" s="21">
        <v>11819.09</v>
      </c>
      <c r="X4" s="21">
        <v>11908.21</v>
      </c>
      <c r="Y4" s="21">
        <v>12573.34</v>
      </c>
      <c r="Z4" s="21">
        <v>12603.73</v>
      </c>
      <c r="AA4" s="21">
        <v>12962.15</v>
      </c>
      <c r="AB4" s="21">
        <v>14480.26</v>
      </c>
      <c r="AC4" s="21">
        <v>14833.61</v>
      </c>
      <c r="AD4" s="21">
        <v>15628.84</v>
      </c>
    </row>
    <row r="5" spans="1:30">
      <c r="A5" s="20" t="s">
        <v>20</v>
      </c>
      <c r="B5" s="21">
        <v>7703.11</v>
      </c>
      <c r="C5" s="21">
        <v>12508.38</v>
      </c>
      <c r="D5" s="21">
        <v>15717.11</v>
      </c>
      <c r="E5" s="21">
        <v>16421.5</v>
      </c>
      <c r="F5" s="21">
        <v>19096.16</v>
      </c>
      <c r="G5" s="21">
        <v>22136.880000000001</v>
      </c>
      <c r="H5" s="21">
        <v>27085.86</v>
      </c>
      <c r="I5" s="21">
        <v>29792.61</v>
      </c>
      <c r="J5" s="21">
        <v>30832.240000000002</v>
      </c>
      <c r="K5" s="21">
        <v>33701.870000000003</v>
      </c>
      <c r="L5" s="21">
        <v>31168</v>
      </c>
      <c r="M5" s="21">
        <v>29918.94</v>
      </c>
      <c r="N5" s="21">
        <v>28961.57</v>
      </c>
      <c r="O5" s="21">
        <v>31137.73</v>
      </c>
      <c r="P5" s="21">
        <v>32294.37</v>
      </c>
      <c r="Q5" s="21">
        <v>32333.72</v>
      </c>
      <c r="R5" s="21">
        <v>32406.94</v>
      </c>
      <c r="S5" s="21">
        <v>29491.02</v>
      </c>
      <c r="T5" s="21">
        <v>28080.67</v>
      </c>
      <c r="U5" s="21">
        <v>25399.68</v>
      </c>
      <c r="V5" s="21">
        <v>26725.37</v>
      </c>
      <c r="W5" s="21">
        <v>26349.06</v>
      </c>
      <c r="X5" s="21">
        <v>25458.63</v>
      </c>
      <c r="Y5" s="21">
        <v>24861.119999999999</v>
      </c>
      <c r="Z5" s="21">
        <v>25375.62</v>
      </c>
      <c r="AA5" s="21">
        <v>28075.08</v>
      </c>
      <c r="AB5" s="21">
        <v>31610.57</v>
      </c>
      <c r="AC5" s="21">
        <v>32173.55</v>
      </c>
      <c r="AD5" s="21">
        <v>30500.69</v>
      </c>
    </row>
    <row r="6" spans="1:30">
      <c r="A6" s="20" t="s">
        <v>27</v>
      </c>
      <c r="B6" s="21">
        <f>SUM(B2,B4)</f>
        <v>7081.11</v>
      </c>
      <c r="C6" s="21">
        <f t="shared" ref="C6:AD6" si="0">SUM(C2,C4)</f>
        <v>5170.0999999999995</v>
      </c>
      <c r="D6" s="21">
        <f t="shared" si="0"/>
        <v>6154.75</v>
      </c>
      <c r="E6" s="21">
        <f t="shared" si="0"/>
        <v>6819.77</v>
      </c>
      <c r="F6" s="21">
        <f t="shared" si="0"/>
        <v>7543.57</v>
      </c>
      <c r="G6" s="21">
        <f t="shared" si="0"/>
        <v>8495.06</v>
      </c>
      <c r="H6" s="21">
        <f t="shared" si="0"/>
        <v>9208.6200000000008</v>
      </c>
      <c r="I6" s="21">
        <f t="shared" si="0"/>
        <v>10107.4</v>
      </c>
      <c r="J6" s="21">
        <f t="shared" si="0"/>
        <v>8413.09</v>
      </c>
      <c r="K6" s="21">
        <f t="shared" si="0"/>
        <v>8590.7000000000007</v>
      </c>
      <c r="L6" s="21">
        <f t="shared" si="0"/>
        <v>9103.36</v>
      </c>
      <c r="M6" s="21">
        <f t="shared" si="0"/>
        <v>9362.91</v>
      </c>
      <c r="N6" s="21">
        <f t="shared" si="0"/>
        <v>10446.970000000001</v>
      </c>
      <c r="O6" s="21">
        <f t="shared" si="0"/>
        <v>10945.41</v>
      </c>
      <c r="P6" s="21">
        <f t="shared" si="0"/>
        <v>11335.55</v>
      </c>
      <c r="Q6" s="21">
        <f t="shared" si="0"/>
        <v>11643.66</v>
      </c>
      <c r="R6" s="21">
        <f t="shared" si="0"/>
        <v>9573.76</v>
      </c>
      <c r="S6" s="21">
        <f t="shared" si="0"/>
        <v>13058.58</v>
      </c>
      <c r="T6" s="21">
        <f t="shared" si="0"/>
        <v>12035.779999999999</v>
      </c>
      <c r="U6" s="21">
        <f t="shared" si="0"/>
        <v>11609.75</v>
      </c>
      <c r="V6" s="21">
        <f t="shared" si="0"/>
        <v>12857.01</v>
      </c>
      <c r="W6" s="21">
        <f t="shared" si="0"/>
        <v>13022.52</v>
      </c>
      <c r="X6" s="21">
        <f t="shared" si="0"/>
        <v>13117.23</v>
      </c>
      <c r="Y6" s="21">
        <f t="shared" si="0"/>
        <v>13880.62</v>
      </c>
      <c r="Z6" s="21">
        <f t="shared" si="0"/>
        <v>14016.88</v>
      </c>
      <c r="AA6" s="21">
        <f t="shared" si="0"/>
        <v>14418.439999999999</v>
      </c>
      <c r="AB6" s="21">
        <f t="shared" si="0"/>
        <v>16136.4</v>
      </c>
      <c r="AC6" s="21">
        <f t="shared" si="0"/>
        <v>16490.39</v>
      </c>
      <c r="AD6" s="21">
        <f t="shared" si="0"/>
        <v>17234.939999999999</v>
      </c>
    </row>
    <row r="7" spans="1:30">
      <c r="A7" s="20" t="s">
        <v>32</v>
      </c>
      <c r="B7" s="21">
        <f>B2/B6</f>
        <v>0.11820745617565608</v>
      </c>
      <c r="C7" s="21">
        <f t="shared" ref="C7:AD7" si="1">C2/C6</f>
        <v>0.17617841047561944</v>
      </c>
      <c r="D7" s="21">
        <f t="shared" si="1"/>
        <v>0.17223120354197977</v>
      </c>
      <c r="E7" s="21">
        <f t="shared" si="1"/>
        <v>0.17415836604460266</v>
      </c>
      <c r="F7" s="21">
        <f t="shared" si="1"/>
        <v>0.16155348197206365</v>
      </c>
      <c r="G7" s="21">
        <f t="shared" si="1"/>
        <v>0.15816133140907776</v>
      </c>
      <c r="H7" s="21">
        <f t="shared" si="1"/>
        <v>0.15129628543690585</v>
      </c>
      <c r="I7" s="21">
        <f t="shared" si="1"/>
        <v>0.15799612165344204</v>
      </c>
      <c r="J7" s="21">
        <f t="shared" si="1"/>
        <v>0.1616326462690878</v>
      </c>
      <c r="K7" s="21">
        <f t="shared" si="1"/>
        <v>0.15242995332161521</v>
      </c>
      <c r="L7" s="21">
        <f t="shared" si="1"/>
        <v>0.15574579056524182</v>
      </c>
      <c r="M7" s="21">
        <f t="shared" si="1"/>
        <v>0.13980909781253906</v>
      </c>
      <c r="N7" s="21">
        <f t="shared" si="1"/>
        <v>0.12921737116120749</v>
      </c>
      <c r="O7" s="21">
        <f t="shared" si="1"/>
        <v>0.12649686032775381</v>
      </c>
      <c r="P7" s="21">
        <f t="shared" si="1"/>
        <v>0.10113404290043272</v>
      </c>
      <c r="Q7" s="21">
        <f t="shared" si="1"/>
        <v>8.9296664450868549E-2</v>
      </c>
      <c r="R7" s="21">
        <f t="shared" si="1"/>
        <v>0.10186384450832275</v>
      </c>
      <c r="S7" s="21">
        <f t="shared" si="1"/>
        <v>7.2412161199762917E-2</v>
      </c>
      <c r="T7" s="21">
        <f t="shared" si="1"/>
        <v>8.1801927253572271E-2</v>
      </c>
      <c r="U7" s="21">
        <f t="shared" si="1"/>
        <v>9.3322422963457441E-2</v>
      </c>
      <c r="V7" s="21">
        <f t="shared" si="1"/>
        <v>8.8519025807711121E-2</v>
      </c>
      <c r="W7" s="21">
        <f t="shared" si="1"/>
        <v>9.2411453389973683E-2</v>
      </c>
      <c r="X7" s="21">
        <f t="shared" si="1"/>
        <v>9.2170374385445702E-2</v>
      </c>
      <c r="Y7" s="21">
        <f t="shared" si="1"/>
        <v>9.4180231142412946E-2</v>
      </c>
      <c r="Z7" s="21">
        <f t="shared" si="1"/>
        <v>0.10081772833897416</v>
      </c>
      <c r="AA7" s="21">
        <f t="shared" si="1"/>
        <v>0.10100191144118227</v>
      </c>
      <c r="AB7" s="21">
        <f t="shared" si="1"/>
        <v>0.1026337968815845</v>
      </c>
      <c r="AC7" s="21">
        <f t="shared" si="1"/>
        <v>0.1004694249196047</v>
      </c>
      <c r="AD7" s="21">
        <f t="shared" si="1"/>
        <v>9.3188604079851745E-2</v>
      </c>
    </row>
    <row r="8" spans="1:30">
      <c r="A8" s="20" t="s">
        <v>34</v>
      </c>
      <c r="B8" s="21">
        <f>SUM(B3,B5)</f>
        <v>10144.31</v>
      </c>
      <c r="C8" s="21">
        <f t="shared" ref="C8:AD8" si="2">SUM(C3,C5)</f>
        <v>13542.869999999999</v>
      </c>
      <c r="D8" s="21">
        <f t="shared" si="2"/>
        <v>16854.77</v>
      </c>
      <c r="E8" s="21">
        <f t="shared" si="2"/>
        <v>20739.12</v>
      </c>
      <c r="F8" s="21">
        <f t="shared" si="2"/>
        <v>22772.58</v>
      </c>
      <c r="G8" s="21">
        <f t="shared" si="2"/>
        <v>25768.54</v>
      </c>
      <c r="H8" s="21">
        <f t="shared" si="2"/>
        <v>29047.7</v>
      </c>
      <c r="I8" s="21">
        <f t="shared" si="2"/>
        <v>32375.29</v>
      </c>
      <c r="J8" s="21">
        <f t="shared" si="2"/>
        <v>33036.480000000003</v>
      </c>
      <c r="K8" s="21">
        <f t="shared" si="2"/>
        <v>35760.44</v>
      </c>
      <c r="L8" s="21">
        <f t="shared" si="2"/>
        <v>33918.050000000003</v>
      </c>
      <c r="M8" s="21">
        <f t="shared" si="2"/>
        <v>32416.829999999998</v>
      </c>
      <c r="N8" s="21">
        <f t="shared" si="2"/>
        <v>31863.02</v>
      </c>
      <c r="O8" s="21">
        <f t="shared" si="2"/>
        <v>34158.449999999997</v>
      </c>
      <c r="P8" s="21">
        <f t="shared" si="2"/>
        <v>35172.159999999996</v>
      </c>
      <c r="Q8" s="21">
        <f t="shared" si="2"/>
        <v>35108.97</v>
      </c>
      <c r="R8" s="21">
        <f t="shared" si="2"/>
        <v>35087.369999999995</v>
      </c>
      <c r="S8" s="21">
        <f t="shared" si="2"/>
        <v>32076.89</v>
      </c>
      <c r="T8" s="21">
        <f t="shared" si="2"/>
        <v>30703.439999999999</v>
      </c>
      <c r="U8" s="21">
        <f t="shared" si="2"/>
        <v>27825.62</v>
      </c>
      <c r="V8" s="21">
        <f t="shared" si="2"/>
        <v>28994.27</v>
      </c>
      <c r="W8" s="21">
        <f t="shared" si="2"/>
        <v>28611.88</v>
      </c>
      <c r="X8" s="21">
        <f t="shared" si="2"/>
        <v>27604.07</v>
      </c>
      <c r="Y8" s="21">
        <f t="shared" si="2"/>
        <v>26269.91</v>
      </c>
      <c r="Z8" s="21">
        <f t="shared" si="2"/>
        <v>26385.26</v>
      </c>
      <c r="AA8" s="21">
        <f t="shared" si="2"/>
        <v>29714.820000000003</v>
      </c>
      <c r="AB8" s="21">
        <f t="shared" si="2"/>
        <v>33017.440000000002</v>
      </c>
      <c r="AC8" s="21">
        <f t="shared" si="2"/>
        <v>33512.29</v>
      </c>
      <c r="AD8" s="21">
        <f t="shared" si="2"/>
        <v>31519.62</v>
      </c>
    </row>
    <row r="9" spans="1:30">
      <c r="A9" s="20" t="s">
        <v>33</v>
      </c>
      <c r="B9" s="21">
        <f>B3/B8</f>
        <v>0.24064721996863267</v>
      </c>
      <c r="C9" s="21">
        <f t="shared" ref="C9:AD9" si="3">C3/C8</f>
        <v>7.638631988640518E-2</v>
      </c>
      <c r="D9" s="21">
        <f t="shared" si="3"/>
        <v>6.7497806258999676E-2</v>
      </c>
      <c r="E9" s="21">
        <f t="shared" si="3"/>
        <v>0.20818723263089273</v>
      </c>
      <c r="F9" s="21">
        <f t="shared" si="3"/>
        <v>0.16144064484568721</v>
      </c>
      <c r="G9" s="21">
        <f t="shared" si="3"/>
        <v>0.14093386742128192</v>
      </c>
      <c r="H9" s="21">
        <f t="shared" si="3"/>
        <v>6.7538565876127887E-2</v>
      </c>
      <c r="I9" s="21">
        <f t="shared" si="3"/>
        <v>7.9773185043284553E-2</v>
      </c>
      <c r="J9" s="21">
        <f t="shared" si="3"/>
        <v>6.6721394046823382E-2</v>
      </c>
      <c r="K9" s="21">
        <f t="shared" si="3"/>
        <v>5.7565566866626922E-2</v>
      </c>
      <c r="L9" s="21">
        <f t="shared" si="3"/>
        <v>8.1079248364808704E-2</v>
      </c>
      <c r="M9" s="21">
        <f t="shared" si="3"/>
        <v>7.7055344399807144E-2</v>
      </c>
      <c r="N9" s="21">
        <f t="shared" si="3"/>
        <v>9.1060106669110449E-2</v>
      </c>
      <c r="O9" s="21">
        <f t="shared" si="3"/>
        <v>8.8432584031184092E-2</v>
      </c>
      <c r="P9" s="21">
        <f t="shared" si="3"/>
        <v>8.1820109996087825E-2</v>
      </c>
      <c r="Q9" s="21">
        <f t="shared" si="3"/>
        <v>7.9046750730653731E-2</v>
      </c>
      <c r="R9" s="21">
        <f t="shared" si="3"/>
        <v>7.6393015492469227E-2</v>
      </c>
      <c r="S9" s="21">
        <f t="shared" si="3"/>
        <v>8.0614735406082078E-2</v>
      </c>
      <c r="T9" s="21">
        <f t="shared" si="3"/>
        <v>8.5422675765321407E-2</v>
      </c>
      <c r="U9" s="21">
        <f t="shared" si="3"/>
        <v>8.7183681801160234E-2</v>
      </c>
      <c r="V9" s="21">
        <f t="shared" si="3"/>
        <v>7.8253392825547941E-2</v>
      </c>
      <c r="W9" s="21">
        <f t="shared" si="3"/>
        <v>7.9086729009068962E-2</v>
      </c>
      <c r="X9" s="21">
        <f t="shared" si="3"/>
        <v>7.7721872173197648E-2</v>
      </c>
      <c r="Y9" s="21">
        <f t="shared" si="3"/>
        <v>5.3627515282694153E-2</v>
      </c>
      <c r="Z9" s="21">
        <f t="shared" si="3"/>
        <v>3.8265304188778132E-2</v>
      </c>
      <c r="AA9" s="21">
        <f t="shared" si="3"/>
        <v>5.5182565467332453E-2</v>
      </c>
      <c r="AB9" s="21">
        <f t="shared" si="3"/>
        <v>4.2609905552944131E-2</v>
      </c>
      <c r="AC9" s="21">
        <f t="shared" si="3"/>
        <v>3.9947732607947713E-2</v>
      </c>
      <c r="AD9" s="21">
        <f t="shared" si="3"/>
        <v>3.232684911810485E-2</v>
      </c>
    </row>
    <row r="10" spans="1:30">
      <c r="A10" s="20" t="s">
        <v>36</v>
      </c>
      <c r="B10" s="23">
        <v>17225.419999999998</v>
      </c>
      <c r="C10" s="23">
        <v>18712.97</v>
      </c>
      <c r="D10" s="23">
        <v>23009.52</v>
      </c>
      <c r="E10" s="23">
        <v>27558.89</v>
      </c>
      <c r="F10" s="23">
        <v>30316.15</v>
      </c>
      <c r="G10" s="23">
        <v>34263.600000000006</v>
      </c>
      <c r="H10" s="23">
        <v>38256.32</v>
      </c>
      <c r="I10" s="23">
        <v>42482.69</v>
      </c>
      <c r="J10" s="23">
        <v>41449.57</v>
      </c>
      <c r="K10" s="23">
        <v>44351.14</v>
      </c>
      <c r="L10" s="23">
        <v>43021.41</v>
      </c>
      <c r="M10" s="23">
        <v>41779.74</v>
      </c>
      <c r="N10" s="23">
        <v>42309.990000000005</v>
      </c>
      <c r="O10" s="23">
        <v>45103.86</v>
      </c>
      <c r="P10" s="23">
        <v>46507.71</v>
      </c>
      <c r="Q10" s="23">
        <v>46752.630000000005</v>
      </c>
      <c r="R10" s="23">
        <v>44661.13</v>
      </c>
      <c r="S10" s="23">
        <v>45135.47</v>
      </c>
      <c r="T10" s="23">
        <v>42739.22</v>
      </c>
      <c r="U10" s="23">
        <v>39435.369999999995</v>
      </c>
      <c r="V10" s="23">
        <v>41851.279999999999</v>
      </c>
      <c r="W10" s="23">
        <v>41634.400000000001</v>
      </c>
      <c r="X10" s="23">
        <v>40721.300000000003</v>
      </c>
      <c r="Y10" s="23">
        <v>40150.53</v>
      </c>
      <c r="Z10" s="23">
        <v>40402.14</v>
      </c>
      <c r="AA10" s="23">
        <v>44133.26</v>
      </c>
      <c r="AB10" s="23">
        <v>49153.84</v>
      </c>
      <c r="AC10" s="23">
        <v>50002.68</v>
      </c>
      <c r="AD10" s="23">
        <v>48754.559999999998</v>
      </c>
    </row>
    <row r="11" spans="1:30" s="27" customFormat="1">
      <c r="A11" s="25" t="s">
        <v>22</v>
      </c>
      <c r="B11" s="25">
        <v>1990</v>
      </c>
      <c r="C11" s="25">
        <v>1991</v>
      </c>
      <c r="D11" s="25">
        <v>1992</v>
      </c>
      <c r="E11" s="25">
        <v>1993</v>
      </c>
      <c r="F11" s="25">
        <v>1994</v>
      </c>
      <c r="G11" s="25">
        <v>1995</v>
      </c>
      <c r="H11" s="25">
        <v>1996</v>
      </c>
      <c r="I11" s="25">
        <v>1997</v>
      </c>
      <c r="J11" s="25">
        <v>1998</v>
      </c>
      <c r="K11" s="25">
        <v>1999</v>
      </c>
      <c r="L11" s="25">
        <v>2000</v>
      </c>
      <c r="M11" s="25">
        <v>2001</v>
      </c>
      <c r="N11" s="25">
        <v>2002</v>
      </c>
      <c r="O11" s="25">
        <v>2003</v>
      </c>
      <c r="P11" s="25">
        <v>2004</v>
      </c>
      <c r="Q11" s="25">
        <v>2005</v>
      </c>
      <c r="R11" s="25">
        <v>2006</v>
      </c>
      <c r="S11" s="25">
        <v>2007</v>
      </c>
      <c r="T11" s="25">
        <v>2008</v>
      </c>
      <c r="U11" s="25">
        <v>2009</v>
      </c>
      <c r="V11" s="25">
        <v>2010</v>
      </c>
      <c r="W11" s="25">
        <v>2011</v>
      </c>
      <c r="X11" s="25">
        <v>2012</v>
      </c>
      <c r="Y11" s="25">
        <v>2013</v>
      </c>
      <c r="Z11" s="25">
        <v>2014</v>
      </c>
      <c r="AA11" s="25">
        <v>2015</v>
      </c>
      <c r="AB11" s="25">
        <v>2016</v>
      </c>
      <c r="AC11" s="25">
        <v>2017</v>
      </c>
      <c r="AD11" s="25">
        <v>2018</v>
      </c>
    </row>
    <row r="12" spans="1:30">
      <c r="A12" s="20" t="s">
        <v>26</v>
      </c>
      <c r="B12" s="22">
        <v>6126.9258799999998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>
        <v>10190.956179999999</v>
      </c>
      <c r="R12" s="22"/>
      <c r="S12" s="22"/>
      <c r="T12" s="22"/>
      <c r="U12" s="22"/>
      <c r="V12" s="22">
        <v>11994.2472</v>
      </c>
      <c r="W12" s="22"/>
      <c r="X12" s="22"/>
      <c r="Y12" s="22"/>
      <c r="Z12" s="22"/>
      <c r="AA12" s="22">
        <v>15547.72</v>
      </c>
      <c r="AB12" s="22"/>
      <c r="AC12" s="22"/>
      <c r="AD12" s="22"/>
    </row>
    <row r="13" spans="1:30">
      <c r="A13" s="20" t="s">
        <v>25</v>
      </c>
      <c r="B13" s="22">
        <v>5024.6495000000004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>
        <v>2685.1264379999998</v>
      </c>
      <c r="R13" s="22"/>
      <c r="S13" s="22"/>
      <c r="T13" s="22"/>
      <c r="U13" s="22"/>
      <c r="V13" s="22">
        <v>2055.9249</v>
      </c>
      <c r="W13" s="22"/>
      <c r="X13" s="22"/>
      <c r="Y13" s="22"/>
      <c r="Z13" s="22"/>
      <c r="AA13" s="22">
        <v>669.21</v>
      </c>
      <c r="AB13" s="22"/>
      <c r="AC13" s="22"/>
      <c r="AD13" s="22"/>
    </row>
    <row r="14" spans="1:30">
      <c r="A14" s="20" t="s">
        <v>24</v>
      </c>
      <c r="B14" s="22">
        <v>568.04566399999999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>
        <v>997.63453200000004</v>
      </c>
      <c r="R14" s="22"/>
      <c r="S14" s="22"/>
      <c r="T14" s="22"/>
      <c r="U14" s="22"/>
      <c r="V14" s="22">
        <v>1204.5157549999999</v>
      </c>
      <c r="W14" s="22"/>
      <c r="X14" s="22"/>
      <c r="Y14" s="22"/>
      <c r="Z14" s="22"/>
      <c r="AA14" s="22">
        <v>1540.35</v>
      </c>
      <c r="AB14" s="22"/>
      <c r="AC14" s="22"/>
      <c r="AD14" s="22"/>
    </row>
    <row r="15" spans="1:30">
      <c r="A15" s="20" t="s">
        <v>23</v>
      </c>
      <c r="B15" s="22">
        <v>4835.2756829999998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>
        <v>30555.449926000001</v>
      </c>
      <c r="R15" s="22"/>
      <c r="S15" s="22"/>
      <c r="T15" s="22"/>
      <c r="U15" s="22"/>
      <c r="V15" s="22">
        <v>26229.208735</v>
      </c>
      <c r="W15" s="22"/>
      <c r="X15" s="22"/>
      <c r="Y15" s="22"/>
      <c r="Z15" s="22"/>
      <c r="AA15" s="22">
        <v>24740.89</v>
      </c>
      <c r="AB15" s="22"/>
      <c r="AC15" s="22"/>
      <c r="AD15" s="22"/>
    </row>
    <row r="16" spans="1:30">
      <c r="A16" s="20" t="s">
        <v>28</v>
      </c>
      <c r="B16" s="21">
        <v>6694.971544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1">
        <v>11188.590711999999</v>
      </c>
      <c r="R16" s="22"/>
      <c r="S16" s="22"/>
      <c r="T16" s="22"/>
      <c r="U16" s="22"/>
      <c r="V16" s="21">
        <v>13198.762955</v>
      </c>
      <c r="W16" s="22"/>
      <c r="X16" s="22"/>
      <c r="Y16" s="22"/>
      <c r="Z16" s="22"/>
      <c r="AA16" s="21">
        <v>17088.07</v>
      </c>
      <c r="AB16" s="22"/>
      <c r="AC16" s="22"/>
      <c r="AD16" s="22"/>
    </row>
    <row r="17" spans="1:30">
      <c r="A17" s="20" t="s">
        <v>29</v>
      </c>
      <c r="B17" s="21">
        <f>B12/B16</f>
        <v>0.91515338634873211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1">
        <f>Q12/Q16</f>
        <v>0.91083465668915609</v>
      </c>
      <c r="R17" s="22"/>
      <c r="S17" s="22"/>
      <c r="T17" s="22"/>
      <c r="U17" s="22"/>
      <c r="V17" s="21">
        <f>V12/V16</f>
        <v>0.90874025398390068</v>
      </c>
      <c r="W17" s="22"/>
      <c r="X17" s="22"/>
      <c r="Y17" s="22"/>
      <c r="Z17" s="22"/>
      <c r="AA17" s="21">
        <f>AA12/AA16</f>
        <v>0.90985816420461763</v>
      </c>
      <c r="AB17" s="22"/>
      <c r="AC17" s="22"/>
      <c r="AD17" s="22"/>
    </row>
    <row r="18" spans="1:30">
      <c r="A18" s="20" t="s">
        <v>30</v>
      </c>
      <c r="B18" s="21">
        <v>9859.9251829999994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1">
        <v>33240.576364</v>
      </c>
      <c r="R18" s="22"/>
      <c r="S18" s="22"/>
      <c r="T18" s="22"/>
      <c r="U18" s="22"/>
      <c r="V18" s="21">
        <v>28285.133634999998</v>
      </c>
      <c r="W18" s="22"/>
      <c r="X18" s="22"/>
      <c r="Y18" s="22"/>
      <c r="Z18" s="22"/>
      <c r="AA18" s="21">
        <v>25410.1</v>
      </c>
      <c r="AB18" s="22"/>
      <c r="AC18" s="22"/>
      <c r="AD18" s="22"/>
    </row>
    <row r="19" spans="1:30">
      <c r="A19" s="20" t="s">
        <v>31</v>
      </c>
      <c r="B19" s="21">
        <f>B13/B18</f>
        <v>0.50960320760478539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1">
        <f>Q13/Q18</f>
        <v>8.0778576418068029E-2</v>
      </c>
      <c r="R19" s="22"/>
      <c r="S19" s="22"/>
      <c r="T19" s="22"/>
      <c r="U19" s="22"/>
      <c r="V19" s="21">
        <f>V13/V18</f>
        <v>7.2685705732569009E-2</v>
      </c>
      <c r="W19" s="22"/>
      <c r="X19" s="22"/>
      <c r="Y19" s="22"/>
      <c r="Z19" s="22"/>
      <c r="AA19" s="21">
        <f>AA13/AA18</f>
        <v>2.6336378054395697E-2</v>
      </c>
      <c r="AB19" s="22"/>
      <c r="AC19" s="22"/>
      <c r="AD19" s="22"/>
    </row>
    <row r="20" spans="1:30">
      <c r="A20" s="20" t="s">
        <v>37</v>
      </c>
      <c r="B20" s="22">
        <v>16554.896726999999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>
        <v>44429.167075999998</v>
      </c>
      <c r="R20" s="22"/>
      <c r="S20" s="22"/>
      <c r="T20" s="22"/>
      <c r="U20" s="22"/>
      <c r="V20" s="22">
        <v>41483.896590000004</v>
      </c>
      <c r="W20" s="22"/>
      <c r="X20" s="22"/>
      <c r="Y20" s="22"/>
      <c r="Z20" s="22"/>
      <c r="AA20" s="22">
        <v>42498.17</v>
      </c>
      <c r="AB20" s="22"/>
      <c r="AC20" s="22"/>
      <c r="AD20" s="2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2025-07-07T05:41:18Z</dcterms:created>
  <dcterms:modified xsi:type="dcterms:W3CDTF">2025-07-07T12:53:41Z</dcterms:modified>
</cp:coreProperties>
</file>